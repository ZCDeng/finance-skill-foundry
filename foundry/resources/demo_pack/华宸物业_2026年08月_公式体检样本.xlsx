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收入" sheetId="1" state="visible" r:id="rId1"/>
    <sheet xmlns:r="http://schemas.openxmlformats.org/officeDocument/2006/relationships" name="口径备注" sheetId="2" state="hidden" r:id="rId2"/>
  </sheets>
  <externalReferences>
    <externalReference xmlns:r="http://schemas.openxmlformats.org/officeDocument/2006/relationships" r:id="rId3"/>
  </externalReference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2025&#24180;&#25253;.xlsx" TargetMode="External" Id="rId1"/></Relationships>
</file>

<file path=xl/externalLinks/externalLink1.xml><?xml version="1.0" encoding="utf-8"?>
<externalLink xmlns="http://schemas.openxmlformats.org/spreadsheetml/2006/main">
  <externalBook>
    <sheetNames>
      <sheetName val="利润表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华宸物业 2026 年月度营业收入（万元）</t>
        </is>
      </c>
    </row>
    <row r="2">
      <c r="A2" t="inlineStr">
        <is>
          <t>项目</t>
        </is>
      </c>
      <c r="B2" t="inlineStr">
        <is>
          <t>1月</t>
        </is>
      </c>
      <c r="C2" t="inlineStr">
        <is>
          <t>2月</t>
        </is>
      </c>
      <c r="D2" t="inlineStr">
        <is>
          <t>3月</t>
        </is>
      </c>
      <c r="E2" t="inlineStr">
        <is>
          <t>4月</t>
        </is>
      </c>
      <c r="F2" t="inlineStr">
        <is>
          <t>5月</t>
        </is>
      </c>
      <c r="G2" t="inlineStr">
        <is>
          <t>6月</t>
        </is>
      </c>
      <c r="H2" t="inlineStr">
        <is>
          <t>7月</t>
        </is>
      </c>
      <c r="I2" t="inlineStr">
        <is>
          <t>8月</t>
        </is>
      </c>
      <c r="J2" t="inlineStr">
        <is>
          <t>9月</t>
        </is>
      </c>
      <c r="K2" t="inlineStr">
        <is>
          <t>10月</t>
        </is>
      </c>
      <c r="L2" t="inlineStr">
        <is>
          <t>11月</t>
        </is>
      </c>
      <c r="M2" t="inlineStr">
        <is>
          <t>12月</t>
        </is>
      </c>
      <c r="N2" t="inlineStr">
        <is>
          <t>全年</t>
        </is>
      </c>
    </row>
    <row r="3">
      <c r="A3" t="inlineStr">
        <is>
          <t>基础物业费</t>
        </is>
      </c>
      <c r="B3" t="n">
        <v>39500</v>
      </c>
      <c r="C3" t="n">
        <v>37800</v>
      </c>
      <c r="D3" t="n">
        <v>40100</v>
      </c>
      <c r="E3" t="n">
        <v>40600</v>
      </c>
      <c r="F3" t="n">
        <v>41200</v>
      </c>
      <c r="G3" t="n">
        <v>41800</v>
      </c>
      <c r="H3" t="n">
        <v>41600</v>
      </c>
      <c r="I3" t="n">
        <v>41469.6</v>
      </c>
      <c r="J3" t="n">
        <v>41900</v>
      </c>
      <c r="K3" t="n">
        <v>42300</v>
      </c>
      <c r="L3" t="n">
        <v>43800</v>
      </c>
      <c r="M3" t="n">
        <v>48000</v>
      </c>
      <c r="N3">
        <f>SUM(B3:M3)</f>
        <v>500069.6</v>
      </c>
    </row>
    <row r="4">
      <c r="A4" t="inlineStr">
        <is>
          <t>增值服务</t>
        </is>
      </c>
      <c r="B4" t="n">
        <v>4345</v>
      </c>
      <c r="C4" t="n">
        <v>4158</v>
      </c>
      <c r="D4" t="n">
        <v>4411</v>
      </c>
      <c r="E4" t="n">
        <v>4466</v>
      </c>
      <c r="F4" t="n">
        <v>4532</v>
      </c>
      <c r="G4" t="n">
        <v>4598</v>
      </c>
      <c r="H4" t="n">
        <v>4576</v>
      </c>
      <c r="I4" t="n">
        <v>4561.7</v>
      </c>
      <c r="J4" t="n">
        <v>4609</v>
      </c>
      <c r="K4" t="n">
        <v>4653</v>
      </c>
      <c r="L4" t="n">
        <v>4818</v>
      </c>
      <c r="M4" t="n">
        <v>5280</v>
      </c>
      <c r="N4">
        <f>SUM(B4:M4)</f>
        <v>55007.7</v>
      </c>
    </row>
    <row r="5">
      <c r="A5" t="inlineStr">
        <is>
          <t>营业收入合计</t>
        </is>
      </c>
      <c r="B5">
        <f>B3+B4</f>
        <v>43845</v>
      </c>
      <c r="C5">
        <f>C3+C4</f>
        <v>41958</v>
      </c>
      <c r="D5">
        <f>D3+D4</f>
        <v>44511</v>
      </c>
      <c r="E5">
        <f>E3+E4</f>
        <v>45066</v>
      </c>
      <c r="F5">
        <f>F3+F4</f>
        <v>45732</v>
      </c>
      <c r="G5">
        <f>G3+G4</f>
        <v>46398</v>
      </c>
      <c r="H5">
        <f>H3+H4</f>
        <v>46176</v>
      </c>
      <c r="I5">
        <f>I3+I4</f>
        <v>46031.3</v>
      </c>
      <c r="J5">
        <f>J3+J4*1.13</f>
        <v>47108.17</v>
      </c>
      <c r="K5">
        <f>K3+K4</f>
        <v>46953</v>
      </c>
      <c r="L5">
        <f>L3+L4</f>
        <v>48618</v>
      </c>
      <c r="M5">
        <f>M3+M4</f>
        <v>53280</v>
      </c>
      <c r="N5">
        <f>SUM(B5:M5)+2793.28</f>
        <v>558469.75</v>
      </c>
    </row>
    <row r="6">
      <c r="A6" t="inlineStr">
        <is>
          <t>上年同期（外部链接）</t>
        </is>
      </c>
      <c r="B6" t="e">
        <f>'[2025年报.xlsx]利润表'!B6</f>
        <v>#REF!</v>
      </c>
      <c r="C6" t="e">
        <f>'[2025年报.xlsx]利润表'!C6</f>
        <v>#REF!</v>
      </c>
      <c r="D6" t="e">
        <f>'[2025年报.xlsx]利润表'!D6</f>
        <v>#REF!</v>
      </c>
      <c r="E6" t="e">
        <f>'[2025年报.xlsx]利润表'!E6</f>
        <v>#REF!</v>
      </c>
      <c r="F6" t="e">
        <f>'[2025年报.xlsx]利润表'!F6</f>
        <v>#REF!</v>
      </c>
      <c r="G6" t="e">
        <f>'[2025年报.xlsx]利润表'!G6</f>
        <v>#REF!</v>
      </c>
      <c r="H6" t="e">
        <f>'[2025年报.xlsx]利润表'!H6</f>
        <v>#REF!</v>
      </c>
      <c r="I6" t="e">
        <f>'[2025年报.xlsx]利润表'!I6</f>
        <v>#REF!</v>
      </c>
      <c r="J6" t="e">
        <f>'[2025年报.xlsx]利润表'!J6</f>
        <v>#REF!</v>
      </c>
      <c r="K6" t="e">
        <f>'[2025年报.xlsx]利润表'!K6</f>
        <v>#REF!</v>
      </c>
      <c r="L6" t="e">
        <f>'[2025年报.xlsx]利润表'!L6</f>
        <v>#REF!</v>
      </c>
      <c r="M6" t="e">
        <f>'[2025年报.xlsx]利润表'!M6</f>
        <v>#REF!</v>
      </c>
      <c r="N6" t="e">
        <f>SUM(B6:M6)</f>
        <v>#REF!</v>
      </c>
    </row>
    <row r="7">
      <c r="A7" t="inlineStr">
        <is>
          <t>预算差异</t>
        </is>
      </c>
      <c r="B7">
        <f>B5-B7</f>
        <v>43845</v>
      </c>
      <c r="C7">
        <f>C5-C7</f>
        <v>41958</v>
      </c>
      <c r="D7" t="e">
        <f>D5-#REF!</f>
        <v>#REF!</v>
      </c>
      <c r="E7">
        <f>E5-E7</f>
        <v>45066</v>
      </c>
      <c r="F7">
        <f>F5-F7</f>
        <v>45732</v>
      </c>
      <c r="G7">
        <f>G5-G7</f>
        <v>46398</v>
      </c>
      <c r="H7">
        <f>H5-H7</f>
        <v>46176</v>
      </c>
      <c r="I7">
        <f>I5-I7</f>
        <v>46031.3</v>
      </c>
      <c r="J7">
        <f>J5-J7</f>
        <v>47108.17</v>
      </c>
      <c r="K7">
        <f>K5-K7</f>
        <v>46953</v>
      </c>
      <c r="L7">
        <f>L5-L7</f>
        <v>48618</v>
      </c>
      <c r="M7">
        <f>M5-M7</f>
        <v>53280</v>
      </c>
    </row>
    <row r="8">
      <c r="A8" t="inlineStr">
        <is>
          <t>编制日期</t>
        </is>
      </c>
      <c r="B8">
        <f>TODAY()</f>
        <v>46270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本表为隐藏表，记录倒挤数 2,793.28 的来源：台账实收与月结区域实收之差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2026-10-08T12:55:24Z</dcterms:created>
  <dcterms:modified xmlns:dcterms="http://purl.org/dc/terms/" xmlns:xsi="http://www.w3.org/2001/XMLSchema-instance" xsi:type="dcterms:W3CDTF">2026-10-08T12:55:24Z</dcterms:modified>
</cp:coreProperties>
</file>